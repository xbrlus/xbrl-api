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style2.xml" ContentType="application/vnd.ms-office.chartstyle+xml"/>
  <Override PartName="/xl/charts/style3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2.xml" ContentType="application/vnd.ms-office.chartcolorstyle+xml"/>
  <Override PartName="/xl/charts/colors3.xml" ContentType="application/vnd.ms-office.chartcolorstyle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6" windowHeight="12660" activeTab="1"/>
  </bookViews>
  <sheets>
    <sheet name="NetMargin" sheetId="1" r:id="rId1"/>
    <sheet name="MarginTimeSeries" sheetId="2" r:id="rId2"/>
  </sheets>
  <definedNames>
    <definedName name="_xlnm._FilterDatabase" localSheetId="0" hidden="1">NetMargin!$A$6:$K$27</definedName>
  </definedNames>
  <calcPr calcId="125725"/>
  <fileRecoveryPr repairLoad="1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0" i="1"/>
  <c r="B54" i="2"/>
  <c r="B50"/>
  <c r="B44" i="1" l="1"/>
  <c r="M4"/>
  <c r="G5"/>
  <c r="E5"/>
  <c r="K5"/>
  <c r="F5"/>
  <c r="I4"/>
  <c r="C4"/>
  <c r="C5" i="2"/>
  <c r="G4" i="1"/>
  <c r="L5"/>
  <c r="H4"/>
  <c r="L4"/>
  <c r="C5"/>
  <c r="E4"/>
  <c r="D5"/>
  <c r="K4"/>
  <c r="F4"/>
  <c r="J4"/>
  <c r="J5"/>
  <c r="D4"/>
  <c r="C4" i="2"/>
  <c r="H5" i="1"/>
  <c r="M5"/>
  <c r="I5"/>
  <c r="B14" i="2" a="1"/>
  <c r="D12"/>
  <c r="C6"/>
  <c r="E12"/>
  <c r="E6" i="1"/>
  <c r="C18" i="2" l="1"/>
  <c r="C26"/>
  <c r="C34"/>
  <c r="A34" s="1"/>
  <c r="B19"/>
  <c r="B27"/>
  <c r="B35"/>
  <c r="C21"/>
  <c r="C29"/>
  <c r="B14"/>
  <c r="E14" s="1"/>
  <c r="B22"/>
  <c r="B30"/>
  <c r="C24"/>
  <c r="B25"/>
  <c r="C27"/>
  <c r="B20"/>
  <c r="B36"/>
  <c r="C20"/>
  <c r="C28"/>
  <c r="C36"/>
  <c r="B21"/>
  <c r="B29"/>
  <c r="C15"/>
  <c r="C23"/>
  <c r="C31"/>
  <c r="B16"/>
  <c r="B24"/>
  <c r="E24" s="1"/>
  <c r="B32"/>
  <c r="C14"/>
  <c r="C22"/>
  <c r="C30"/>
  <c r="B15"/>
  <c r="B23"/>
  <c r="B31"/>
  <c r="E31" s="1"/>
  <c r="C17"/>
  <c r="C25"/>
  <c r="C33"/>
  <c r="B18"/>
  <c r="B26"/>
  <c r="B34"/>
  <c r="C16"/>
  <c r="C32"/>
  <c r="B17"/>
  <c r="A17" s="1"/>
  <c r="B33"/>
  <c r="C19"/>
  <c r="C35"/>
  <c r="B28"/>
  <c r="D23"/>
  <c r="D22"/>
  <c r="E35"/>
  <c r="D16"/>
  <c r="D19"/>
  <c r="L6" i="1"/>
  <c r="G6"/>
  <c r="D6"/>
  <c r="J9"/>
  <c r="L10"/>
  <c r="C10"/>
  <c r="M6"/>
  <c r="F10"/>
  <c r="I6"/>
  <c r="I10"/>
  <c r="F6"/>
  <c r="M9"/>
  <c r="D9"/>
  <c r="E10"/>
  <c r="L9"/>
  <c r="M10"/>
  <c r="G9"/>
  <c r="H9"/>
  <c r="G10"/>
  <c r="K10"/>
  <c r="D10"/>
  <c r="H6"/>
  <c r="E9"/>
  <c r="K9"/>
  <c r="I9"/>
  <c r="C9"/>
  <c r="F9"/>
  <c r="J6"/>
  <c r="K6"/>
  <c r="C6"/>
  <c r="J10"/>
  <c r="H10"/>
  <c r="A18" i="2" l="1"/>
  <c r="A28"/>
  <c r="A26"/>
  <c r="I12" i="1"/>
  <c r="M12"/>
  <c r="J12"/>
  <c r="D12"/>
  <c r="F12"/>
  <c r="E12"/>
  <c r="K12"/>
  <c r="H12"/>
  <c r="C12"/>
  <c r="G12"/>
  <c r="L12"/>
  <c r="A32" i="2"/>
  <c r="A20"/>
  <c r="A33"/>
  <c r="A21"/>
  <c r="A30"/>
  <c r="A15"/>
  <c r="A16"/>
  <c r="A14"/>
  <c r="A24"/>
  <c r="A19"/>
  <c r="A22"/>
  <c r="A29"/>
  <c r="A27"/>
  <c r="A35"/>
  <c r="A25"/>
  <c r="A23"/>
  <c r="A31"/>
  <c r="A36"/>
  <c r="E26"/>
  <c r="D24"/>
  <c r="E19"/>
  <c r="E20"/>
  <c r="E36"/>
  <c r="D35"/>
  <c r="E25"/>
  <c r="D34"/>
  <c r="D21"/>
  <c r="D32"/>
  <c r="D30"/>
  <c r="D27"/>
  <c r="D14"/>
  <c r="E23"/>
  <c r="E22"/>
  <c r="E15"/>
  <c r="E18"/>
  <c r="D17"/>
  <c r="E27"/>
  <c r="E33"/>
  <c r="D26"/>
  <c r="E28"/>
  <c r="D15"/>
  <c r="E30"/>
  <c r="D31"/>
  <c r="E16"/>
  <c r="E29"/>
  <c r="D33"/>
  <c r="D25"/>
  <c r="D28"/>
  <c r="E17"/>
  <c r="D20"/>
  <c r="D18"/>
  <c r="D29"/>
  <c r="E32"/>
  <c r="E21"/>
  <c r="D36"/>
  <c r="E34"/>
  <c r="F31" l="1"/>
  <c r="F27"/>
  <c r="F24"/>
  <c r="F14"/>
  <c r="F17"/>
  <c r="F15"/>
  <c r="F35"/>
  <c r="F29"/>
  <c r="F26"/>
  <c r="F28"/>
  <c r="F32"/>
  <c r="F20"/>
  <c r="F34"/>
  <c r="F19"/>
  <c r="F25"/>
  <c r="F22"/>
  <c r="F21"/>
  <c r="F30"/>
  <c r="F36"/>
  <c r="F16"/>
  <c r="F18"/>
  <c r="F33"/>
  <c r="F23"/>
</calcChain>
</file>

<file path=xl/sharedStrings.xml><?xml version="1.0" encoding="utf-8"?>
<sst xmlns="http://schemas.openxmlformats.org/spreadsheetml/2006/main" count="70" uniqueCount="44">
  <si>
    <t>Year</t>
  </si>
  <si>
    <t>Period</t>
  </si>
  <si>
    <t>Ticker</t>
  </si>
  <si>
    <t>ibm</t>
  </si>
  <si>
    <t>Company</t>
  </si>
  <si>
    <t>CIK</t>
  </si>
  <si>
    <t>DO NOT CHANGE</t>
  </si>
  <si>
    <t>url</t>
  </si>
  <si>
    <t>http://csuite.xbrl.us/php/dispatch.php?Task=xbrlCIKLookup</t>
  </si>
  <si>
    <t>API KEY</t>
  </si>
  <si>
    <t>API_KEY</t>
  </si>
  <si>
    <t>xbrlValues</t>
  </si>
  <si>
    <t>xbrlCIKLookup</t>
  </si>
  <si>
    <t>xbrlBaseElement</t>
  </si>
  <si>
    <t>Net Margin Compare</t>
  </si>
  <si>
    <t>Company Details</t>
  </si>
  <si>
    <t>Namespace</t>
  </si>
  <si>
    <t>1Q</t>
  </si>
  <si>
    <t>Revenues, SalesRevenueNet, SalesRevenueServicesNet</t>
  </si>
  <si>
    <t>Revenues</t>
  </si>
  <si>
    <t>NetIncomeLoss, ProfitLoss,NetIncomeLossAvailableToCommonStockholdersBasic</t>
  </si>
  <si>
    <t>Net Income (Loss) Attributable to Parent</t>
  </si>
  <si>
    <t>Calculated Values</t>
  </si>
  <si>
    <t>Net Margin</t>
  </si>
  <si>
    <t>flr</t>
  </si>
  <si>
    <t>kbr</t>
  </si>
  <si>
    <t>mtz</t>
  </si>
  <si>
    <t>aegn</t>
  </si>
  <si>
    <t>jec</t>
  </si>
  <si>
    <t>pwr</t>
  </si>
  <si>
    <t>layn</t>
  </si>
  <si>
    <t>gldd</t>
  </si>
  <si>
    <t>strl</t>
  </si>
  <si>
    <t>pike</t>
  </si>
  <si>
    <t>Net Margin Series</t>
  </si>
  <si>
    <t>1Q,2Q,3Q,4Q</t>
  </si>
  <si>
    <t>Last Year</t>
  </si>
  <si>
    <t>Number Years</t>
  </si>
  <si>
    <t>Revenues,salesRevenueNet,salesRevenueGoodsNet, SalesRevenueServicesNet</t>
  </si>
  <si>
    <t>year</t>
  </si>
  <si>
    <t>period</t>
  </si>
  <si>
    <t>amount</t>
  </si>
  <si>
    <t>THIS KEY IS FOR DEMO PURPOSES AND WILL EXPIRE. PLEASE CREATE AN ACCOUNT AND GENERATE A KEY TO REPLACE THE ONE IN THE CELL AT LEFT http://xbrl.us/apirequest</t>
  </si>
  <si>
    <t>4af8ed08-e6c2-4558-9f19-be677f8186eb</t>
  </si>
</sst>
</file>

<file path=xl/styles.xml><?xml version="1.0" encoding="utf-8"?>
<styleSheet xmlns="http://schemas.openxmlformats.org/spreadsheetml/2006/main">
  <numFmts count="1">
    <numFmt numFmtId="164" formatCode="&quot;$&quot;#,##0;[Red]\-&quot;$&quot;#,##0"/>
  </numFmts>
  <fonts count="2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0C343D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u/>
      <sz val="11"/>
      <color theme="1"/>
      <name val="Arial"/>
      <family val="2"/>
    </font>
    <font>
      <b/>
      <sz val="16"/>
      <color theme="1"/>
      <name val="Arial"/>
      <family val="2"/>
      <charset val="204"/>
    </font>
    <font>
      <b/>
      <sz val="14"/>
      <color theme="1"/>
      <name val="Arial"/>
      <family val="2"/>
      <charset val="204"/>
    </font>
    <font>
      <b/>
      <sz val="8.8000000000000007"/>
      <color rgb="FF0C343D"/>
      <name val="Arial"/>
      <family val="2"/>
      <charset val="204"/>
    </font>
    <font>
      <b/>
      <sz val="8.8000000000000007"/>
      <color theme="1"/>
      <name val="Arial"/>
      <family val="2"/>
      <charset val="204"/>
    </font>
    <font>
      <sz val="8.8000000000000007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b/>
      <sz val="11"/>
      <color rgb="FF0C343D"/>
      <name val="Arial"/>
      <family val="2"/>
      <charset val="204"/>
    </font>
    <font>
      <b/>
      <sz val="11"/>
      <color theme="1"/>
      <name val="Arial"/>
      <family val="2"/>
      <charset val="204"/>
    </font>
    <font>
      <sz val="9.9"/>
      <color theme="1"/>
      <name val="Arial"/>
      <family val="2"/>
      <charset val="204"/>
    </font>
    <font>
      <b/>
      <sz val="9.9"/>
      <color theme="1"/>
      <name val="Arial"/>
      <family val="2"/>
      <charset val="204"/>
    </font>
    <font>
      <b/>
      <sz val="18"/>
      <color theme="1"/>
      <name val="Arial"/>
      <family val="2"/>
      <charset val="204"/>
    </font>
    <font>
      <b/>
      <i/>
      <sz val="8"/>
      <color theme="1"/>
      <name val="Arial"/>
      <family val="2"/>
      <charset val="204"/>
    </font>
    <font>
      <b/>
      <sz val="10"/>
      <color rgb="FF0C343D"/>
      <name val="Arial"/>
      <family val="2"/>
      <charset val="204"/>
    </font>
    <font>
      <b/>
      <i/>
      <sz val="10"/>
      <color theme="1"/>
      <name val="Arial"/>
      <family val="2"/>
      <charset val="204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93C47D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dotted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3">
    <xf numFmtId="0" fontId="0" fillId="0" borderId="0" xfId="0"/>
    <xf numFmtId="164" fontId="4" fillId="4" borderId="2" xfId="0" applyNumberFormat="1" applyFont="1" applyFill="1" applyBorder="1" applyAlignment="1">
      <alignment horizontal="right" wrapText="1"/>
    </xf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3" fillId="2" borderId="0" xfId="0" applyFont="1" applyFill="1" applyAlignment="1">
      <alignment wrapText="1"/>
    </xf>
    <xf numFmtId="0" fontId="7" fillId="2" borderId="0" xfId="1" applyFill="1" applyAlignment="1">
      <alignment wrapText="1"/>
    </xf>
    <xf numFmtId="0" fontId="8" fillId="2" borderId="0" xfId="0" applyFont="1" applyFill="1" applyAlignment="1">
      <alignment wrapText="1"/>
    </xf>
    <xf numFmtId="0" fontId="9" fillId="3" borderId="0" xfId="0" applyFont="1" applyFill="1" applyAlignment="1">
      <alignment horizontal="right" wrapText="1"/>
    </xf>
    <xf numFmtId="0" fontId="10" fillId="0" borderId="0" xfId="0" applyFont="1" applyAlignment="1">
      <alignment wrapText="1"/>
    </xf>
    <xf numFmtId="0" fontId="1" fillId="0" borderId="0" xfId="0" applyFont="1"/>
    <xf numFmtId="0" fontId="11" fillId="0" borderId="0" xfId="0" applyFont="1"/>
    <xf numFmtId="0" fontId="12" fillId="0" borderId="0" xfId="0" applyFont="1"/>
    <xf numFmtId="0" fontId="13" fillId="2" borderId="3" xfId="0" applyFont="1" applyFill="1" applyBorder="1" applyAlignment="1">
      <alignment wrapText="1"/>
    </xf>
    <xf numFmtId="0" fontId="14" fillId="5" borderId="6" xfId="0" applyFont="1" applyFill="1" applyBorder="1"/>
    <xf numFmtId="0" fontId="14" fillId="5" borderId="3" xfId="0" applyFont="1" applyFill="1" applyBorder="1" applyAlignment="1">
      <alignment horizontal="right"/>
    </xf>
    <xf numFmtId="0" fontId="15" fillId="4" borderId="3" xfId="0" applyFont="1" applyFill="1" applyBorder="1" applyAlignment="1">
      <alignment horizontal="left" wrapText="1"/>
    </xf>
    <xf numFmtId="0" fontId="17" fillId="2" borderId="6" xfId="0" applyFont="1" applyFill="1" applyBorder="1" applyAlignment="1">
      <alignment wrapText="1"/>
    </xf>
    <xf numFmtId="0" fontId="16" fillId="0" borderId="3" xfId="0" applyFont="1" applyBorder="1" applyAlignment="1">
      <alignment wrapText="1"/>
    </xf>
    <xf numFmtId="0" fontId="12" fillId="0" borderId="3" xfId="0" applyFont="1" applyBorder="1" applyAlignment="1">
      <alignment wrapText="1"/>
    </xf>
    <xf numFmtId="0" fontId="14" fillId="5" borderId="3" xfId="0" applyFont="1" applyFill="1" applyBorder="1" applyAlignment="1">
      <alignment horizontal="center"/>
    </xf>
    <xf numFmtId="0" fontId="4" fillId="4" borderId="1" xfId="0" applyNumberFormat="1" applyFont="1" applyFill="1" applyBorder="1" applyAlignment="1">
      <alignment horizontal="right" wrapText="1"/>
    </xf>
    <xf numFmtId="0" fontId="2" fillId="4" borderId="1" xfId="0" applyNumberFormat="1" applyFont="1" applyFill="1" applyBorder="1" applyAlignment="1">
      <alignment horizontal="right" wrapText="1"/>
    </xf>
    <xf numFmtId="10" fontId="4" fillId="4" borderId="1" xfId="0" applyNumberFormat="1" applyFont="1" applyFill="1" applyBorder="1" applyAlignment="1">
      <alignment horizontal="right" wrapText="1"/>
    </xf>
    <xf numFmtId="0" fontId="18" fillId="0" borderId="3" xfId="0" applyFont="1" applyBorder="1" applyAlignment="1"/>
    <xf numFmtId="0" fontId="16" fillId="0" borderId="3" xfId="0" applyFont="1" applyBorder="1" applyAlignment="1"/>
    <xf numFmtId="0" fontId="0" fillId="0" borderId="0" xfId="0" applyAlignment="1"/>
    <xf numFmtId="0" fontId="17" fillId="2" borderId="3" xfId="0" applyFont="1" applyFill="1" applyBorder="1" applyAlignment="1"/>
    <xf numFmtId="0" fontId="16" fillId="0" borderId="7" xfId="0" applyFont="1" applyBorder="1" applyAlignment="1"/>
    <xf numFmtId="0" fontId="18" fillId="6" borderId="3" xfId="0" applyFont="1" applyFill="1" applyBorder="1" applyAlignment="1"/>
    <xf numFmtId="0" fontId="16" fillId="6" borderId="3" xfId="0" applyFont="1" applyFill="1" applyBorder="1" applyAlignment="1"/>
    <xf numFmtId="0" fontId="20" fillId="6" borderId="3" xfId="0" applyFont="1" applyFill="1" applyBorder="1" applyAlignment="1"/>
    <xf numFmtId="0" fontId="17" fillId="6" borderId="3" xfId="0" applyFont="1" applyFill="1" applyBorder="1" applyAlignment="1"/>
    <xf numFmtId="0" fontId="7" fillId="6" borderId="3" xfId="1" applyFill="1" applyBorder="1" applyAlignment="1"/>
    <xf numFmtId="0" fontId="12" fillId="0" borderId="3" xfId="0" applyFont="1" applyBorder="1" applyAlignment="1"/>
    <xf numFmtId="0" fontId="21" fillId="0" borderId="3" xfId="0" applyFont="1" applyBorder="1" applyAlignment="1"/>
    <xf numFmtId="0" fontId="22" fillId="3" borderId="3" xfId="0" applyFont="1" applyFill="1" applyBorder="1" applyAlignment="1">
      <alignment horizontal="left" wrapText="1"/>
    </xf>
    <xf numFmtId="0" fontId="23" fillId="2" borderId="3" xfId="0" applyFont="1" applyFill="1" applyBorder="1" applyAlignment="1">
      <alignment wrapText="1"/>
    </xf>
    <xf numFmtId="0" fontId="24" fillId="3" borderId="3" xfId="0" applyFont="1" applyFill="1" applyBorder="1" applyAlignment="1">
      <alignment horizontal="left" wrapText="1"/>
    </xf>
    <xf numFmtId="0" fontId="23" fillId="2" borderId="3" xfId="0" applyFont="1" applyFill="1" applyBorder="1" applyAlignment="1">
      <alignment horizontal="center" wrapText="1"/>
    </xf>
    <xf numFmtId="0" fontId="0" fillId="0" borderId="0" xfId="0" applyAlignment="1">
      <alignment horizontal="right"/>
    </xf>
    <xf numFmtId="0" fontId="25" fillId="0" borderId="0" xfId="0" applyFont="1"/>
    <xf numFmtId="0" fontId="16" fillId="4" borderId="3" xfId="0" applyFont="1" applyFill="1" applyBorder="1" applyAlignment="1">
      <alignment horizontal="left" wrapText="1"/>
    </xf>
    <xf numFmtId="0" fontId="16" fillId="4" borderId="3" xfId="0" applyFont="1" applyFill="1" applyBorder="1" applyAlignment="1">
      <alignment horizontal="center" wrapText="1"/>
    </xf>
    <xf numFmtId="164" fontId="25" fillId="4" borderId="2" xfId="0" applyNumberFormat="1" applyFont="1" applyFill="1" applyBorder="1" applyAlignment="1">
      <alignment horizontal="right" wrapText="1"/>
    </xf>
    <xf numFmtId="10" fontId="16" fillId="7" borderId="3" xfId="0" applyNumberFormat="1" applyFont="1" applyFill="1" applyBorder="1" applyAlignment="1">
      <alignment wrapText="1"/>
    </xf>
    <xf numFmtId="0" fontId="16" fillId="4" borderId="3" xfId="0" applyFont="1" applyFill="1" applyBorder="1" applyAlignment="1">
      <alignment horizontal="right" wrapText="1"/>
    </xf>
    <xf numFmtId="0" fontId="26" fillId="0" borderId="0" xfId="0" applyFont="1"/>
    <xf numFmtId="0" fontId="26" fillId="0" borderId="0" xfId="0" applyFont="1" applyAlignment="1"/>
    <xf numFmtId="0" fontId="19" fillId="3" borderId="3" xfId="0" applyFont="1" applyFill="1" applyBorder="1" applyAlignment="1">
      <alignment horizontal="right" wrapText="1"/>
    </xf>
    <xf numFmtId="0" fontId="13" fillId="2" borderId="4" xfId="0" applyFont="1" applyFill="1" applyBorder="1" applyAlignment="1">
      <alignment wrapText="1"/>
    </xf>
    <xf numFmtId="0" fontId="13" fillId="2" borderId="5" xfId="0" applyFont="1" applyFill="1" applyBorder="1" applyAlignment="1">
      <alignment wrapText="1"/>
    </xf>
    <xf numFmtId="0" fontId="17" fillId="2" borderId="4" xfId="0" applyFont="1" applyFill="1" applyBorder="1" applyAlignment="1"/>
    <xf numFmtId="0" fontId="17" fillId="2" borderId="5" xfId="0" applyFont="1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="1"/>
              <a:t>Revenues and Net Income (Loss) Attributable to Parent</a:t>
            </a:r>
            <a:endParaRPr lang="ru-RU" b="1"/>
          </a:p>
        </c:rich>
      </c:tx>
      <c:layout>
        <c:manualLayout>
          <c:xMode val="edge"/>
          <c:yMode val="edge"/>
          <c:x val="0.14130487565023364"/>
          <c:y val="1.8934908890039123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960695441704149"/>
          <c:y val="0.11704929512192515"/>
          <c:w val="0.8479398020983826"/>
          <c:h val="0.7634237197752759"/>
        </c:manualLayout>
      </c:layout>
      <c:barChart>
        <c:barDir val="col"/>
        <c:grouping val="clustered"/>
        <c:ser>
          <c:idx val="0"/>
          <c:order val="0"/>
          <c:tx>
            <c:strRef>
              <c:f>NetMargin!$B$9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NetMargin!$C$3:$M$3</c:f>
              <c:strCache>
                <c:ptCount val="11"/>
                <c:pt idx="0">
                  <c:v>ibm</c:v>
                </c:pt>
                <c:pt idx="1">
                  <c:v>flr</c:v>
                </c:pt>
                <c:pt idx="2">
                  <c:v>kbr</c:v>
                </c:pt>
                <c:pt idx="3">
                  <c:v>mtz</c:v>
                </c:pt>
                <c:pt idx="4">
                  <c:v>aegn</c:v>
                </c:pt>
                <c:pt idx="5">
                  <c:v>jec</c:v>
                </c:pt>
                <c:pt idx="6">
                  <c:v>pwr</c:v>
                </c:pt>
                <c:pt idx="7">
                  <c:v>layn</c:v>
                </c:pt>
                <c:pt idx="8">
                  <c:v>gldd</c:v>
                </c:pt>
                <c:pt idx="9">
                  <c:v>strl</c:v>
                </c:pt>
                <c:pt idx="10">
                  <c:v>pike</c:v>
                </c:pt>
              </c:strCache>
            </c:strRef>
          </c:cat>
          <c:val>
            <c:numRef>
              <c:f>NetMargin!$C$9:$M$9</c:f>
              <c:numCache>
                <c:formatCode>"$"#,##0;[Red]\-"$"#,##0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NetMargin!$B$10</c:f>
              <c:strCache>
                <c:ptCount val="1"/>
                <c:pt idx="0">
                  <c:v>Net Income (Loss) Attributable to Parent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NetMargin!$C$3:$M$3</c:f>
              <c:strCache>
                <c:ptCount val="11"/>
                <c:pt idx="0">
                  <c:v>ibm</c:v>
                </c:pt>
                <c:pt idx="1">
                  <c:v>flr</c:v>
                </c:pt>
                <c:pt idx="2">
                  <c:v>kbr</c:v>
                </c:pt>
                <c:pt idx="3">
                  <c:v>mtz</c:v>
                </c:pt>
                <c:pt idx="4">
                  <c:v>aegn</c:v>
                </c:pt>
                <c:pt idx="5">
                  <c:v>jec</c:v>
                </c:pt>
                <c:pt idx="6">
                  <c:v>pwr</c:v>
                </c:pt>
                <c:pt idx="7">
                  <c:v>layn</c:v>
                </c:pt>
                <c:pt idx="8">
                  <c:v>gldd</c:v>
                </c:pt>
                <c:pt idx="9">
                  <c:v>strl</c:v>
                </c:pt>
                <c:pt idx="10">
                  <c:v>pike</c:v>
                </c:pt>
              </c:strCache>
            </c:strRef>
          </c:cat>
          <c:val>
            <c:numRef>
              <c:f>NetMargin!$C$10:$M$10</c:f>
              <c:numCache>
                <c:formatCode>"$"#,##0;[Red]\-"$"#,##0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gapWidth val="219"/>
        <c:overlap val="-27"/>
        <c:axId val="134117248"/>
        <c:axId val="134118784"/>
      </c:barChart>
      <c:catAx>
        <c:axId val="134117248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118784"/>
        <c:crosses val="autoZero"/>
        <c:auto val="1"/>
        <c:lblAlgn val="ctr"/>
        <c:lblOffset val="100"/>
      </c:catAx>
      <c:valAx>
        <c:axId val="13411878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[Red]\-&quot;$&quot;#,##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117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688586407319242"/>
          <c:y val="0.89309628749056069"/>
          <c:w val="0.57563585559557162"/>
          <c:h val="9.7436258064419967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>
        <c:manualLayout>
          <c:xMode val="edge"/>
          <c:yMode val="edge"/>
          <c:x val="0.12535411198600172"/>
          <c:y val="3.2407407407407447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0543677178116122"/>
          <c:y val="0.11821220510453889"/>
          <c:w val="0.87079229358891008"/>
          <c:h val="0.6782068794300331"/>
        </c:manualLayout>
      </c:layout>
      <c:barChart>
        <c:barDir val="col"/>
        <c:grouping val="clustered"/>
        <c:ser>
          <c:idx val="0"/>
          <c:order val="0"/>
          <c:tx>
            <c:strRef>
              <c:f>NetMargin!$B$12</c:f>
              <c:strCache>
                <c:ptCount val="1"/>
                <c:pt idx="0">
                  <c:v>Net Margin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NetMargin!$C$3:$M$3</c:f>
              <c:strCache>
                <c:ptCount val="11"/>
                <c:pt idx="0">
                  <c:v>ibm</c:v>
                </c:pt>
                <c:pt idx="1">
                  <c:v>flr</c:v>
                </c:pt>
                <c:pt idx="2">
                  <c:v>kbr</c:v>
                </c:pt>
                <c:pt idx="3">
                  <c:v>mtz</c:v>
                </c:pt>
                <c:pt idx="4">
                  <c:v>aegn</c:v>
                </c:pt>
                <c:pt idx="5">
                  <c:v>jec</c:v>
                </c:pt>
                <c:pt idx="6">
                  <c:v>pwr</c:v>
                </c:pt>
                <c:pt idx="7">
                  <c:v>layn</c:v>
                </c:pt>
                <c:pt idx="8">
                  <c:v>gldd</c:v>
                </c:pt>
                <c:pt idx="9">
                  <c:v>strl</c:v>
                </c:pt>
                <c:pt idx="10">
                  <c:v>pike</c:v>
                </c:pt>
              </c:strCache>
            </c:strRef>
          </c:cat>
          <c:val>
            <c:numRef>
              <c:f>NetMargin!$C$12:$M$12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gapWidth val="219"/>
        <c:overlap val="-27"/>
        <c:axId val="134135168"/>
        <c:axId val="134149248"/>
      </c:barChart>
      <c:catAx>
        <c:axId val="134135168"/>
        <c:scaling>
          <c:orientation val="minMax"/>
        </c:scaling>
        <c:axPos val="b"/>
        <c:numFmt formatCode="General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149248"/>
        <c:crosses val="autoZero"/>
        <c:auto val="1"/>
        <c:lblAlgn val="ctr"/>
        <c:lblOffset val="100"/>
      </c:catAx>
      <c:valAx>
        <c:axId val="13414924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135168"/>
        <c:crossesAt val="1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="1"/>
              <a:t>Net Margin Time Series</a:t>
            </a:r>
            <a:endParaRPr lang="ru-RU" b="1"/>
          </a:p>
        </c:rich>
      </c:tx>
      <c:layout>
        <c:manualLayout>
          <c:xMode val="edge"/>
          <c:yMode val="edge"/>
          <c:x val="9.7509814668752165E-2"/>
          <c:y val="1.9253908518161601E-2"/>
        </c:manualLayout>
      </c:layout>
      <c:spPr>
        <a:noFill/>
        <a:ln>
          <a:noFill/>
        </a:ln>
        <a:effectLst/>
      </c:spPr>
    </c:title>
    <c:plotArea>
      <c:layout/>
      <c:lineChart>
        <c:grouping val="standard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MarginTimeSeries!$A$14:$A$36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cat>
          <c:val>
            <c:numRef>
              <c:f>MarginTimeSeries!$F$14:$F$36</c:f>
              <c:numCache>
                <c:formatCode>0.00%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marker val="1"/>
        <c:axId val="143590528"/>
        <c:axId val="143592064"/>
      </c:lineChart>
      <c:catAx>
        <c:axId val="143590528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592064"/>
        <c:crosses val="autoZero"/>
        <c:auto val="1"/>
        <c:lblAlgn val="ctr"/>
        <c:lblOffset val="100"/>
      </c:catAx>
      <c:valAx>
        <c:axId val="14359206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59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12</xdr:row>
      <xdr:rowOff>157161</xdr:rowOff>
    </xdr:from>
    <xdr:to>
      <xdr:col>3</xdr:col>
      <xdr:colOff>1571625</xdr:colOff>
      <xdr:row>33</xdr:row>
      <xdr:rowOff>180974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1676400</xdr:colOff>
      <xdr:row>12</xdr:row>
      <xdr:rowOff>147637</xdr:rowOff>
    </xdr:from>
    <xdr:to>
      <xdr:col>7</xdr:col>
      <xdr:colOff>590550</xdr:colOff>
      <xdr:row>33</xdr:row>
      <xdr:rowOff>142875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266699</xdr:colOff>
      <xdr:row>12</xdr:row>
      <xdr:rowOff>128587</xdr:rowOff>
    </xdr:from>
    <xdr:to>
      <xdr:col>16</xdr:col>
      <xdr:colOff>142875</xdr:colOff>
      <xdr:row>36</xdr:row>
      <xdr:rowOff>66675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csuite.xbrl.us/php/dispatch.php?Task=xbrlCIKLookup" TargetMode="External"/><Relationship Id="rId2" Type="http://schemas.openxmlformats.org/officeDocument/2006/relationships/hyperlink" Target="http://test.xbrl.us/php/dispatch.php?Task=xbrlBaseElement" TargetMode="External"/><Relationship Id="rId1" Type="http://schemas.openxmlformats.org/officeDocument/2006/relationships/hyperlink" Target="http://csuite.xbrl.us/php/dispatch.php?Task=xbrlValues&amp;API_Key=22f14062-1cc0-0298-1cae-cd793a60c05f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://csuite.xbrl.us/php/dispatch.php?Task=xbrlBaseElement&amp;API_Key=10d21524-beec-4160-aeaa-5615f43fffca" TargetMode="External"/><Relationship Id="rId1" Type="http://schemas.openxmlformats.org/officeDocument/2006/relationships/hyperlink" Target="http://csuite.xbrl.us/php/dispatch.php?Task=xbrlValues&amp;API_Key=10d21524-beec-4160-aeaa-5615f43fff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44"/>
  <sheetViews>
    <sheetView topLeftCell="A25" workbookViewId="0">
      <selection activeCell="B37" sqref="B37"/>
    </sheetView>
  </sheetViews>
  <sheetFormatPr defaultRowHeight="14.4"/>
  <cols>
    <col min="1" max="1" width="31.6640625" customWidth="1"/>
    <col min="2" max="2" width="29.44140625" customWidth="1"/>
    <col min="3" max="9" width="27.33203125" customWidth="1"/>
    <col min="10" max="10" width="32.33203125" customWidth="1"/>
    <col min="11" max="11" width="27.33203125" customWidth="1"/>
    <col min="12" max="12" width="31.44140625" customWidth="1"/>
    <col min="13" max="13" width="27.33203125" customWidth="1"/>
  </cols>
  <sheetData>
    <row r="1" spans="1:13" ht="21">
      <c r="A1" s="10" t="s">
        <v>14</v>
      </c>
    </row>
    <row r="2" spans="1:13" ht="27.75" customHeight="1" thickBot="1">
      <c r="A2" s="11" t="s">
        <v>15</v>
      </c>
    </row>
    <row r="3" spans="1:13" ht="15" thickBot="1">
      <c r="A3" s="49" t="s">
        <v>2</v>
      </c>
      <c r="B3" s="50"/>
      <c r="C3" s="19" t="s">
        <v>3</v>
      </c>
      <c r="D3" s="19" t="s">
        <v>24</v>
      </c>
      <c r="E3" s="19" t="s">
        <v>25</v>
      </c>
      <c r="F3" s="19" t="s">
        <v>26</v>
      </c>
      <c r="G3" s="19" t="s">
        <v>27</v>
      </c>
      <c r="H3" s="19" t="s">
        <v>28</v>
      </c>
      <c r="I3" s="19" t="s">
        <v>29</v>
      </c>
      <c r="J3" s="19" t="s">
        <v>30</v>
      </c>
      <c r="K3" s="19" t="s">
        <v>31</v>
      </c>
      <c r="L3" s="19" t="s">
        <v>32</v>
      </c>
      <c r="M3" s="19" t="s">
        <v>33</v>
      </c>
    </row>
    <row r="4" spans="1:13" ht="30" customHeight="1" thickBot="1">
      <c r="A4" s="49" t="s">
        <v>4</v>
      </c>
      <c r="B4" s="50"/>
      <c r="C4" s="20" t="str">
        <f>xbrlCIKLookup("http://csuite.xbrl.us/php/dispatch.php?Task=xbrlCIKLookup&amp;Ticker="&amp;C3&amp;"","name")</f>
        <v>INTERNATIONAL BUSINESS MACHINES CORP</v>
      </c>
      <c r="D4" s="20" t="str">
        <f t="shared" ref="D4:M4" si="0">xbrlCIKLookup("http://csuite.xbrl.us/php/dispatch.php?Task=xbrlCIKLookup&amp;Ticker="&amp;D3&amp;"","name")</f>
        <v>FLUOR CORP</v>
      </c>
      <c r="E4" s="20" t="str">
        <f t="shared" si="0"/>
        <v>KBR, INC.</v>
      </c>
      <c r="F4" s="20" t="str">
        <f t="shared" si="0"/>
        <v>MASTEC INC</v>
      </c>
      <c r="G4" s="20" t="str">
        <f t="shared" si="0"/>
        <v>Aegion Corp</v>
      </c>
      <c r="H4" s="20" t="str">
        <f t="shared" si="0"/>
        <v>JACOBS ENGINEERING GROUP INC /DE/</v>
      </c>
      <c r="I4" s="20" t="str">
        <f t="shared" si="0"/>
        <v>QUANTA SERVICES INC</v>
      </c>
      <c r="J4" s="20" t="str">
        <f t="shared" si="0"/>
        <v>LAYNE CHRISTENSEN CO</v>
      </c>
      <c r="K4" s="20" t="str">
        <f t="shared" si="0"/>
        <v>Great Lakes Dredge &amp; Dock CORP</v>
      </c>
      <c r="L4" s="20" t="str">
        <f t="shared" si="0"/>
        <v>STERLING CONSTRUCTION CO INC</v>
      </c>
      <c r="M4" s="20" t="str">
        <f t="shared" si="0"/>
        <v>Pike Corp</v>
      </c>
    </row>
    <row r="5" spans="1:13" ht="15" thickBot="1">
      <c r="A5" s="49" t="s">
        <v>5</v>
      </c>
      <c r="B5" s="50"/>
      <c r="C5" s="20" t="str">
        <f>xbrlCIKLookup("http://csuite.xbrl.us/php/dispatch.php?Task=xbrlCIKLookup&amp;Ticker="&amp;C3&amp;"","cik")</f>
        <v>0000051143</v>
      </c>
      <c r="D5" s="20" t="str">
        <f t="shared" ref="D5:M5" si="1">xbrlCIKLookup("http://csuite.xbrl.us/php/dispatch.php?Task=xbrlCIKLookup&amp;Ticker="&amp;D3&amp;"","cik")</f>
        <v>0001124198</v>
      </c>
      <c r="E5" s="20" t="str">
        <f t="shared" si="1"/>
        <v>0001357615</v>
      </c>
      <c r="F5" s="20" t="str">
        <f t="shared" si="1"/>
        <v>0000015615</v>
      </c>
      <c r="G5" s="20" t="str">
        <f t="shared" si="1"/>
        <v>0000353020</v>
      </c>
      <c r="H5" s="20" t="str">
        <f t="shared" si="1"/>
        <v>0000052988</v>
      </c>
      <c r="I5" s="20" t="str">
        <f t="shared" si="1"/>
        <v>0001050915</v>
      </c>
      <c r="J5" s="20" t="str">
        <f t="shared" si="1"/>
        <v>0000888504</v>
      </c>
      <c r="K5" s="20" t="str">
        <f t="shared" si="1"/>
        <v>0001372020</v>
      </c>
      <c r="L5" s="20" t="str">
        <f t="shared" si="1"/>
        <v>0000874238</v>
      </c>
      <c r="M5" s="20" t="str">
        <f t="shared" si="1"/>
        <v>0001317577</v>
      </c>
    </row>
    <row r="6" spans="1:13" ht="15" thickBot="1">
      <c r="A6" s="49" t="s">
        <v>16</v>
      </c>
      <c r="B6" s="50"/>
      <c r="C6" s="21" t="e">
        <f ca="1">xbrlValues(""&amp;$B$40&amp;"&amp;Period="&amp;$B$7&amp;"&amp;Year="&amp;$B$8&amp;"&amp;CIK="&amp;C$5&amp;"&amp;Ultimus=true&amp;NoYears=1&amp;DimReqd=false&amp;ExtensionElement=extension","namespace","Last")</f>
        <v>#NAME?</v>
      </c>
      <c r="D6" s="21" t="e">
        <f t="shared" ref="D6:M6" ca="1" si="2">xbrlValues(""&amp;$B$40&amp;"&amp;Period="&amp;$B$7&amp;"&amp;Year="&amp;$B$8&amp;"&amp;CIK="&amp;D$5&amp;"&amp;Ultimus=true&amp;NoYears=1&amp;DimReqd=false&amp;ExtensionElement=extension","namespace","Last")</f>
        <v>#NAME?</v>
      </c>
      <c r="E6" s="21" t="e">
        <f t="shared" ca="1" si="2"/>
        <v>#NAME?</v>
      </c>
      <c r="F6" s="21" t="e">
        <f t="shared" ca="1" si="2"/>
        <v>#NAME?</v>
      </c>
      <c r="G6" s="21" t="e">
        <f t="shared" ca="1" si="2"/>
        <v>#NAME?</v>
      </c>
      <c r="H6" s="21" t="e">
        <f t="shared" ca="1" si="2"/>
        <v>#NAME?</v>
      </c>
      <c r="I6" s="21" t="e">
        <f t="shared" ca="1" si="2"/>
        <v>#NAME?</v>
      </c>
      <c r="J6" s="21" t="e">
        <f t="shared" ca="1" si="2"/>
        <v>#NAME?</v>
      </c>
      <c r="K6" s="21" t="e">
        <f t="shared" ca="1" si="2"/>
        <v>#NAME?</v>
      </c>
      <c r="L6" s="21" t="e">
        <f t="shared" ca="1" si="2"/>
        <v>#NAME?</v>
      </c>
      <c r="M6" s="21" t="e">
        <f t="shared" ca="1" si="2"/>
        <v>#NAME?</v>
      </c>
    </row>
    <row r="7" spans="1:13" ht="15" thickBot="1">
      <c r="A7" s="12" t="s">
        <v>1</v>
      </c>
      <c r="B7" s="14" t="s">
        <v>17</v>
      </c>
    </row>
    <row r="8" spans="1:13" ht="15" thickBot="1">
      <c r="A8" s="12" t="s">
        <v>0</v>
      </c>
      <c r="B8" s="14">
        <v>2015</v>
      </c>
    </row>
    <row r="9" spans="1:13" ht="15" thickBot="1">
      <c r="A9" s="13" t="s">
        <v>18</v>
      </c>
      <c r="B9" s="15" t="s">
        <v>19</v>
      </c>
      <c r="C9" s="1" t="e">
        <f ca="1">MAX((xbrlValues(""&amp;$B$40&amp;"&amp;Element="&amp;$A9&amp;"&amp;Period="&amp;$B$7&amp;"&amp;Year="&amp;$B$8&amp;"&amp;CIK="&amp;C$5&amp;"&amp;Ultimus=true&amp;NoYears=1&amp;DimReqd=false","amount","Last")))</f>
        <v>#NAME?</v>
      </c>
      <c r="D9" s="1" t="e">
        <f t="shared" ref="D9:M9" ca="1" si="3">MAX((xbrlValues(""&amp;$B$40&amp;"&amp;Element="&amp;$A9&amp;"&amp;Period="&amp;$B$7&amp;"&amp;Year="&amp;$B$8&amp;"&amp;CIK="&amp;D$5&amp;"&amp;Ultimus=true&amp;NoYears=1&amp;DimReqd=false","amount","Last")))</f>
        <v>#NAME?</v>
      </c>
      <c r="E9" s="1" t="e">
        <f t="shared" ca="1" si="3"/>
        <v>#NAME?</v>
      </c>
      <c r="F9" s="1" t="e">
        <f t="shared" ca="1" si="3"/>
        <v>#NAME?</v>
      </c>
      <c r="G9" s="1" t="e">
        <f t="shared" ca="1" si="3"/>
        <v>#NAME?</v>
      </c>
      <c r="H9" s="1" t="e">
        <f t="shared" ca="1" si="3"/>
        <v>#NAME?</v>
      </c>
      <c r="I9" s="1" t="e">
        <f t="shared" ca="1" si="3"/>
        <v>#NAME?</v>
      </c>
      <c r="J9" s="1" t="e">
        <f t="shared" ca="1" si="3"/>
        <v>#NAME?</v>
      </c>
      <c r="K9" s="1" t="e">
        <f t="shared" ca="1" si="3"/>
        <v>#NAME?</v>
      </c>
      <c r="L9" s="1" t="e">
        <f t="shared" ca="1" si="3"/>
        <v>#NAME?</v>
      </c>
      <c r="M9" s="1" t="e">
        <f t="shared" ca="1" si="3"/>
        <v>#NAME?</v>
      </c>
    </row>
    <row r="10" spans="1:13" ht="24.6" thickBot="1">
      <c r="A10" s="13" t="s">
        <v>20</v>
      </c>
      <c r="B10" s="15" t="s">
        <v>21</v>
      </c>
      <c r="C10" s="1" t="e">
        <f ca="1">MIN((xbrlValues(""&amp;$B$40&amp;"&amp;Element="&amp;$A10&amp;"&amp;Period="&amp;$B$7&amp;"&amp;Year="&amp;$B$8&amp;"&amp;CIK="&amp;C$5&amp;"&amp;Ultimus=true&amp;NoYears=1&amp;DimReqd=false","amount")))</f>
        <v>#NAME?</v>
      </c>
      <c r="D10" s="1" t="e">
        <f t="shared" ref="D10:M10" ca="1" si="4">MIN((xbrlValues(""&amp;$B$40&amp;"&amp;Element="&amp;$A10&amp;"&amp;Period="&amp;$B$7&amp;"&amp;Year="&amp;$B$8&amp;"&amp;CIK="&amp;D$5&amp;"&amp;Ultimus=true&amp;NoYears=1&amp;DimReqd=false","amount")))</f>
        <v>#NAME?</v>
      </c>
      <c r="E10" s="1" t="e">
        <f t="shared" ca="1" si="4"/>
        <v>#NAME?</v>
      </c>
      <c r="F10" s="1" t="e">
        <f t="shared" ca="1" si="4"/>
        <v>#NAME?</v>
      </c>
      <c r="G10" s="1" t="e">
        <f t="shared" ca="1" si="4"/>
        <v>#NAME?</v>
      </c>
      <c r="H10" s="1" t="e">
        <f t="shared" ca="1" si="4"/>
        <v>#NAME?</v>
      </c>
      <c r="I10" s="1" t="e">
        <f t="shared" ca="1" si="4"/>
        <v>#NAME?</v>
      </c>
      <c r="J10" s="1" t="e">
        <f t="shared" ca="1" si="4"/>
        <v>#NAME?</v>
      </c>
      <c r="K10" s="1" t="e">
        <f t="shared" ca="1" si="4"/>
        <v>#NAME?</v>
      </c>
      <c r="L10" s="1" t="e">
        <f t="shared" ca="1" si="4"/>
        <v>#NAME?</v>
      </c>
      <c r="M10" s="1" t="e">
        <f t="shared" ca="1" si="4"/>
        <v>#NAME?</v>
      </c>
    </row>
    <row r="11" spans="1:13" ht="18" thickBot="1">
      <c r="A11" s="18" t="s">
        <v>22</v>
      </c>
      <c r="B11" s="17"/>
    </row>
    <row r="12" spans="1:13" ht="15" thickBot="1">
      <c r="A12" s="16" t="s">
        <v>23</v>
      </c>
      <c r="B12" s="15" t="s">
        <v>23</v>
      </c>
      <c r="C12" s="22" t="e">
        <f ca="1">C10/C9</f>
        <v>#NAME?</v>
      </c>
      <c r="D12" s="22" t="e">
        <f t="shared" ref="D12:M12" ca="1" si="5">D10/D9</f>
        <v>#NAME?</v>
      </c>
      <c r="E12" s="22" t="e">
        <f t="shared" ca="1" si="5"/>
        <v>#NAME?</v>
      </c>
      <c r="F12" s="22" t="e">
        <f t="shared" ca="1" si="5"/>
        <v>#NAME?</v>
      </c>
      <c r="G12" s="22" t="e">
        <f t="shared" ca="1" si="5"/>
        <v>#NAME?</v>
      </c>
      <c r="H12" s="22" t="e">
        <f t="shared" ca="1" si="5"/>
        <v>#NAME?</v>
      </c>
      <c r="I12" s="22" t="e">
        <f t="shared" ca="1" si="5"/>
        <v>#NAME?</v>
      </c>
      <c r="J12" s="22" t="e">
        <f t="shared" ca="1" si="5"/>
        <v>#NAME?</v>
      </c>
      <c r="K12" s="22" t="e">
        <f t="shared" ca="1" si="5"/>
        <v>#NAME?</v>
      </c>
      <c r="L12" s="22" t="e">
        <f t="shared" ca="1" si="5"/>
        <v>#NAME?</v>
      </c>
      <c r="M12" s="22" t="e">
        <f t="shared" ca="1" si="5"/>
        <v>#NAME?</v>
      </c>
    </row>
    <row r="25" ht="15" customHeight="1"/>
    <row r="35" spans="1:3">
      <c r="A35" s="2" t="s">
        <v>9</v>
      </c>
    </row>
    <row r="36" spans="1:3" ht="24">
      <c r="A36" s="6" t="s">
        <v>10</v>
      </c>
      <c r="B36" s="7" t="s">
        <v>43</v>
      </c>
      <c r="C36" s="46" t="s">
        <v>42</v>
      </c>
    </row>
    <row r="38" spans="1:3">
      <c r="A38" s="8" t="s">
        <v>6</v>
      </c>
      <c r="B38" s="3"/>
    </row>
    <row r="39" spans="1:3">
      <c r="A39" s="9" t="s">
        <v>11</v>
      </c>
      <c r="B39" s="3"/>
    </row>
    <row r="40" spans="1:3" ht="57.6">
      <c r="A40" s="4" t="s">
        <v>7</v>
      </c>
      <c r="B40" s="5" t="str">
        <f>"http://csuite.xbrl.us/php/dispatch.php?Task=xbrlValues&amp;API_Key="&amp;B36&amp;""</f>
        <v>http://csuite.xbrl.us/php/dispatch.php?Task=xbrlValues&amp;API_Key=4af8ed08-e6c2-4558-9f19-be677f8186eb</v>
      </c>
    </row>
    <row r="41" spans="1:3">
      <c r="A41" s="9" t="s">
        <v>12</v>
      </c>
    </row>
    <row r="42" spans="1:3" ht="28.8">
      <c r="A42" s="4" t="s">
        <v>7</v>
      </c>
      <c r="B42" s="5" t="s">
        <v>8</v>
      </c>
    </row>
    <row r="43" spans="1:3">
      <c r="A43" s="9" t="s">
        <v>13</v>
      </c>
    </row>
    <row r="44" spans="1:3" ht="57.6">
      <c r="A44" s="4" t="s">
        <v>7</v>
      </c>
      <c r="B44" s="5" t="str">
        <f>"http://csuite.xbrl.us/php/dispatch.php?Task=xbrlBaseElement&amp;API_Key="&amp;B36&amp;""</f>
        <v>http://csuite.xbrl.us/php/dispatch.php?Task=xbrlBaseElement&amp;API_Key=4af8ed08-e6c2-4558-9f19-be677f8186eb</v>
      </c>
    </row>
  </sheetData>
  <mergeCells count="4">
    <mergeCell ref="A3:B3"/>
    <mergeCell ref="A4:B4"/>
    <mergeCell ref="A5:B5"/>
    <mergeCell ref="A6:B6"/>
  </mergeCells>
  <hyperlinks>
    <hyperlink ref="B40" r:id="rId1" display="http://csuite.xbrl.us/php/dispatch.php?Task=xbrlValues&amp;API_Key=22f14062-1cc0-0298-1cae-cd793a60c05f"/>
    <hyperlink ref="B44" r:id="rId2" display="http://test.xbrl.us/php/dispatch.php?Task=xbrlBaseElement"/>
    <hyperlink ref="B42" r:id="rId3"/>
  </hyperlinks>
  <pageMargins left="0.7" right="0.7" top="0.75" bottom="0.75" header="0.3" footer="0.3"/>
  <pageSetup paperSize="9"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54"/>
  <sheetViews>
    <sheetView tabSelected="1" topLeftCell="A57" workbookViewId="0">
      <selection activeCell="B47" sqref="B47"/>
    </sheetView>
  </sheetViews>
  <sheetFormatPr defaultRowHeight="14.4"/>
  <cols>
    <col min="1" max="1" width="13.6640625" customWidth="1"/>
    <col min="2" max="2" width="14.44140625" customWidth="1"/>
    <col min="3" max="3" width="26" customWidth="1"/>
    <col min="4" max="4" width="28.5546875" customWidth="1"/>
    <col min="5" max="5" width="33.88671875" customWidth="1"/>
    <col min="6" max="6" width="13.109375" customWidth="1"/>
  </cols>
  <sheetData>
    <row r="1" spans="1:6" ht="23.4" thickBot="1">
      <c r="A1" s="34" t="s">
        <v>34</v>
      </c>
      <c r="B1" s="24"/>
    </row>
    <row r="2" spans="1:6" ht="18" thickBot="1">
      <c r="A2" s="33" t="s">
        <v>15</v>
      </c>
      <c r="B2" s="24"/>
    </row>
    <row r="3" spans="1:6" ht="15" thickBot="1">
      <c r="A3" s="51" t="s">
        <v>2</v>
      </c>
      <c r="B3" s="52"/>
      <c r="C3" s="15" t="s">
        <v>3</v>
      </c>
    </row>
    <row r="4" spans="1:6" ht="24.6" thickBot="1">
      <c r="A4" s="51" t="s">
        <v>4</v>
      </c>
      <c r="B4" s="52"/>
      <c r="C4" s="15" t="str">
        <f>xbrlCIKLookup("http://csuite.xbrl.us/php/dispatch.php?Task=xbrlCIKLookup&amp;Ticker="&amp;C3&amp;"","name")</f>
        <v>INTERNATIONAL BUSINESS MACHINES CORP</v>
      </c>
    </row>
    <row r="5" spans="1:6" ht="15" thickBot="1">
      <c r="A5" s="51" t="s">
        <v>5</v>
      </c>
      <c r="B5" s="52"/>
      <c r="C5" s="15" t="str">
        <f>xbrlCIKLookup("http://csuite.xbrl.us/php/dispatch.php?Task=xbrlCIKLookup&amp;Ticker="&amp;C3&amp;"","cik")</f>
        <v>0000051143</v>
      </c>
    </row>
    <row r="6" spans="1:6" ht="15" thickBot="1">
      <c r="A6" s="51" t="s">
        <v>16</v>
      </c>
      <c r="B6" s="52"/>
      <c r="C6" s="15" t="e">
        <f ca="1">(xbrlValues(""&amp;$B$50&amp;"&amp;Period="&amp;$B$7&amp;"&amp;Year="&amp;$B$8&amp;"&amp;CIK="&amp;C$5&amp;"&amp;Ultimus=true&amp;NoYears=1&amp;DimReqd=false&amp;ExtensionElement=extension","namespace","Last"))</f>
        <v>#NAME?</v>
      </c>
    </row>
    <row r="7" spans="1:6" ht="15" thickBot="1">
      <c r="A7" s="26" t="s">
        <v>1</v>
      </c>
      <c r="B7" s="14" t="s">
        <v>35</v>
      </c>
    </row>
    <row r="8" spans="1:6" ht="15" thickBot="1">
      <c r="A8" s="26" t="s">
        <v>36</v>
      </c>
      <c r="B8" s="14">
        <v>2015</v>
      </c>
    </row>
    <row r="9" spans="1:6" ht="15" thickBot="1">
      <c r="A9" s="26" t="s">
        <v>37</v>
      </c>
      <c r="B9" s="14">
        <v>8</v>
      </c>
    </row>
    <row r="10" spans="1:6" ht="5.25" customHeight="1" thickBot="1"/>
    <row r="11" spans="1:6" ht="32.4" thickBot="1">
      <c r="D11" s="35" t="s">
        <v>38</v>
      </c>
      <c r="E11" s="35" t="s">
        <v>20</v>
      </c>
    </row>
    <row r="12" spans="1:6" ht="27.6" thickBot="1">
      <c r="A12" s="40"/>
      <c r="B12" s="41"/>
      <c r="C12" s="41"/>
      <c r="D12" s="42" t="e">
        <f ca="1">xbrlSchema(""&amp;B$54&amp;"&amp;Element=Revenues","standard")</f>
        <v>#NAME?</v>
      </c>
      <c r="E12" s="42" t="e">
        <f ca="1">xbrlSchema(""&amp;B$54&amp;"&amp;Element=NetIncomeLoss","standard")</f>
        <v>#NAME?</v>
      </c>
      <c r="F12" s="40"/>
    </row>
    <row r="13" spans="1:6" ht="15" thickBot="1">
      <c r="A13" s="36" t="s">
        <v>1</v>
      </c>
      <c r="B13" s="37" t="s">
        <v>39</v>
      </c>
      <c r="C13" s="37" t="s">
        <v>40</v>
      </c>
      <c r="D13" s="37" t="s">
        <v>41</v>
      </c>
      <c r="E13" s="37" t="s">
        <v>41</v>
      </c>
      <c r="F13" s="38" t="s">
        <v>23</v>
      </c>
    </row>
    <row r="14" spans="1:6" ht="15" thickBot="1">
      <c r="A14" s="45" t="e">
        <f ca="1">B14&amp;"-"&amp;C14</f>
        <v>#NAME?</v>
      </c>
      <c r="B14" s="45" t="e">
        <f t="array" aca="1" ref="B14:C36" ca="1">xbrlValues($B$50&amp;"&amp;Element="&amp;$D11&amp;"&amp;Period="&amp;$B$7&amp;"&amp;Year="&amp;$B$8&amp;"&amp;CIK="&amp;C$5&amp;"&amp;Ultimus=true&amp;NoYears="&amp;B9&amp;"&amp;DimReqd=false",B13:C13)</f>
        <v>#NAME?</v>
      </c>
      <c r="C14" s="45" t="e">
        <f ca="1"/>
        <v>#NAME?</v>
      </c>
      <c r="D14" s="43" t="e">
        <f ca="1">IF(B14="","", MAX(xbrlValues(""&amp;$B$50&amp;"&amp;Element="&amp;$D$11&amp;"&amp;Period="&amp;$C14&amp;"&amp;Year="&amp;$B14&amp;"&amp;CIK="&amp;C$5&amp;"&amp;Ultimus=true&amp;NoYears=1&amp;DimReqd=false",$D$13)))</f>
        <v>#NAME?</v>
      </c>
      <c r="E14" s="43" t="e">
        <f ca="1">IF(B14="","", MIN(xbrlValues(""&amp;$B$50&amp;"&amp;Element="&amp;$E$11&amp;"&amp;Period="&amp;$C14&amp;"&amp;Year="&amp;$B14&amp;"&amp;CIK="&amp;C$5&amp;"&amp;Ultimus=true&amp;NoYears=1&amp;DimReqd=false",$D$13)))</f>
        <v>#NAME?</v>
      </c>
      <c r="F14" s="44" t="e">
        <f ca="1">IF(E14=0,"",E14/D14)</f>
        <v>#NAME?</v>
      </c>
    </row>
    <row r="15" spans="1:6" ht="15" thickBot="1">
      <c r="A15" s="45" t="e">
        <f t="shared" ref="A15:A36" ca="1" si="0">B15&amp;"-"&amp;C15</f>
        <v>#NAME?</v>
      </c>
      <c r="B15" s="45" t="e">
        <f ca="1"/>
        <v>#NAME?</v>
      </c>
      <c r="C15" s="45" t="e">
        <f ca="1"/>
        <v>#NAME?</v>
      </c>
      <c r="D15" s="43" t="e">
        <f t="shared" ref="D15:D36" ca="1" si="1">IF(B15="","", MAX(xbrlValues(""&amp;$B$50&amp;"&amp;Element="&amp;$D$11&amp;"&amp;Period="&amp;$C15&amp;"&amp;Year="&amp;$B15&amp;"&amp;CIK="&amp;C$5&amp;"&amp;Ultimus=true&amp;NoYears=1&amp;DimReqd=false",$D$13)))</f>
        <v>#NAME?</v>
      </c>
      <c r="E15" s="43" t="e">
        <f t="shared" ref="E15:E36" ca="1" si="2">IF(B15="","", MIN(xbrlValues(""&amp;$B$50&amp;"&amp;Element="&amp;$E$11&amp;"&amp;Period="&amp;$C15&amp;"&amp;Year="&amp;$B15&amp;"&amp;CIK="&amp;C$5&amp;"&amp;Ultimus=true&amp;NoYears=1&amp;DimReqd=false",$D$13)))</f>
        <v>#NAME?</v>
      </c>
      <c r="F15" s="44" t="e">
        <f t="shared" ref="F15:F36" ca="1" si="3">IF(E15=0,"",E15/D15)</f>
        <v>#NAME?</v>
      </c>
    </row>
    <row r="16" spans="1:6" ht="15" thickBot="1">
      <c r="A16" s="45" t="e">
        <f t="shared" ca="1" si="0"/>
        <v>#NAME?</v>
      </c>
      <c r="B16" s="45" t="e">
        <f ca="1"/>
        <v>#NAME?</v>
      </c>
      <c r="C16" s="45" t="e">
        <f ca="1"/>
        <v>#NAME?</v>
      </c>
      <c r="D16" s="43" t="e">
        <f t="shared" ca="1" si="1"/>
        <v>#NAME?</v>
      </c>
      <c r="E16" s="43" t="e">
        <f t="shared" ca="1" si="2"/>
        <v>#NAME?</v>
      </c>
      <c r="F16" s="44" t="e">
        <f t="shared" ca="1" si="3"/>
        <v>#NAME?</v>
      </c>
    </row>
    <row r="17" spans="1:6" ht="15" thickBot="1">
      <c r="A17" s="45" t="e">
        <f t="shared" ca="1" si="0"/>
        <v>#NAME?</v>
      </c>
      <c r="B17" s="45" t="e">
        <f ca="1"/>
        <v>#NAME?</v>
      </c>
      <c r="C17" s="45" t="e">
        <f ca="1"/>
        <v>#NAME?</v>
      </c>
      <c r="D17" s="43" t="e">
        <f t="shared" ca="1" si="1"/>
        <v>#NAME?</v>
      </c>
      <c r="E17" s="43" t="e">
        <f t="shared" ca="1" si="2"/>
        <v>#NAME?</v>
      </c>
      <c r="F17" s="44" t="e">
        <f t="shared" ca="1" si="3"/>
        <v>#NAME?</v>
      </c>
    </row>
    <row r="18" spans="1:6" ht="15" thickBot="1">
      <c r="A18" s="45" t="e">
        <f t="shared" ca="1" si="0"/>
        <v>#NAME?</v>
      </c>
      <c r="B18" s="45" t="e">
        <f ca="1"/>
        <v>#NAME?</v>
      </c>
      <c r="C18" s="45" t="e">
        <f ca="1"/>
        <v>#NAME?</v>
      </c>
      <c r="D18" s="43" t="e">
        <f t="shared" ca="1" si="1"/>
        <v>#NAME?</v>
      </c>
      <c r="E18" s="43" t="e">
        <f t="shared" ca="1" si="2"/>
        <v>#NAME?</v>
      </c>
      <c r="F18" s="44" t="e">
        <f t="shared" ca="1" si="3"/>
        <v>#NAME?</v>
      </c>
    </row>
    <row r="19" spans="1:6" ht="15" thickBot="1">
      <c r="A19" s="45" t="e">
        <f t="shared" ca="1" si="0"/>
        <v>#NAME?</v>
      </c>
      <c r="B19" s="45" t="e">
        <f ca="1"/>
        <v>#NAME?</v>
      </c>
      <c r="C19" s="45" t="e">
        <f ca="1"/>
        <v>#NAME?</v>
      </c>
      <c r="D19" s="43" t="e">
        <f t="shared" ca="1" si="1"/>
        <v>#NAME?</v>
      </c>
      <c r="E19" s="43" t="e">
        <f t="shared" ca="1" si="2"/>
        <v>#NAME?</v>
      </c>
      <c r="F19" s="44" t="e">
        <f t="shared" ca="1" si="3"/>
        <v>#NAME?</v>
      </c>
    </row>
    <row r="20" spans="1:6" ht="15" thickBot="1">
      <c r="A20" s="45" t="e">
        <f t="shared" ca="1" si="0"/>
        <v>#NAME?</v>
      </c>
      <c r="B20" s="45" t="e">
        <f ca="1"/>
        <v>#NAME?</v>
      </c>
      <c r="C20" s="45" t="e">
        <f ca="1"/>
        <v>#NAME?</v>
      </c>
      <c r="D20" s="43" t="e">
        <f t="shared" ca="1" si="1"/>
        <v>#NAME?</v>
      </c>
      <c r="E20" s="43" t="e">
        <f t="shared" ca="1" si="2"/>
        <v>#NAME?</v>
      </c>
      <c r="F20" s="44" t="e">
        <f t="shared" ca="1" si="3"/>
        <v>#NAME?</v>
      </c>
    </row>
    <row r="21" spans="1:6" ht="15" thickBot="1">
      <c r="A21" s="45" t="e">
        <f t="shared" ca="1" si="0"/>
        <v>#NAME?</v>
      </c>
      <c r="B21" s="45" t="e">
        <f ca="1"/>
        <v>#NAME?</v>
      </c>
      <c r="C21" s="45" t="e">
        <f ca="1"/>
        <v>#NAME?</v>
      </c>
      <c r="D21" s="43" t="e">
        <f t="shared" ca="1" si="1"/>
        <v>#NAME?</v>
      </c>
      <c r="E21" s="43" t="e">
        <f t="shared" ca="1" si="2"/>
        <v>#NAME?</v>
      </c>
      <c r="F21" s="44" t="e">
        <f t="shared" ca="1" si="3"/>
        <v>#NAME?</v>
      </c>
    </row>
    <row r="22" spans="1:6" ht="15" thickBot="1">
      <c r="A22" s="45" t="e">
        <f t="shared" ca="1" si="0"/>
        <v>#NAME?</v>
      </c>
      <c r="B22" s="45" t="e">
        <f ca="1"/>
        <v>#NAME?</v>
      </c>
      <c r="C22" s="45" t="e">
        <f ca="1"/>
        <v>#NAME?</v>
      </c>
      <c r="D22" s="43" t="e">
        <f t="shared" ca="1" si="1"/>
        <v>#NAME?</v>
      </c>
      <c r="E22" s="43" t="e">
        <f t="shared" ca="1" si="2"/>
        <v>#NAME?</v>
      </c>
      <c r="F22" s="44" t="e">
        <f t="shared" ca="1" si="3"/>
        <v>#NAME?</v>
      </c>
    </row>
    <row r="23" spans="1:6" ht="15" thickBot="1">
      <c r="A23" s="45" t="e">
        <f t="shared" ca="1" si="0"/>
        <v>#NAME?</v>
      </c>
      <c r="B23" s="45" t="e">
        <f ca="1"/>
        <v>#NAME?</v>
      </c>
      <c r="C23" s="45" t="e">
        <f ca="1"/>
        <v>#NAME?</v>
      </c>
      <c r="D23" s="43" t="e">
        <f t="shared" ca="1" si="1"/>
        <v>#NAME?</v>
      </c>
      <c r="E23" s="43" t="e">
        <f t="shared" ca="1" si="2"/>
        <v>#NAME?</v>
      </c>
      <c r="F23" s="44" t="e">
        <f t="shared" ca="1" si="3"/>
        <v>#NAME?</v>
      </c>
    </row>
    <row r="24" spans="1:6" ht="15" thickBot="1">
      <c r="A24" s="45" t="e">
        <f t="shared" ca="1" si="0"/>
        <v>#NAME?</v>
      </c>
      <c r="B24" s="45" t="e">
        <f ca="1"/>
        <v>#NAME?</v>
      </c>
      <c r="C24" s="45" t="e">
        <f ca="1"/>
        <v>#NAME?</v>
      </c>
      <c r="D24" s="43" t="e">
        <f t="shared" ca="1" si="1"/>
        <v>#NAME?</v>
      </c>
      <c r="E24" s="43" t="e">
        <f t="shared" ca="1" si="2"/>
        <v>#NAME?</v>
      </c>
      <c r="F24" s="44" t="e">
        <f t="shared" ca="1" si="3"/>
        <v>#NAME?</v>
      </c>
    </row>
    <row r="25" spans="1:6" ht="15" thickBot="1">
      <c r="A25" s="45" t="e">
        <f t="shared" ca="1" si="0"/>
        <v>#NAME?</v>
      </c>
      <c r="B25" s="45" t="e">
        <f ca="1"/>
        <v>#NAME?</v>
      </c>
      <c r="C25" s="45" t="e">
        <f ca="1"/>
        <v>#NAME?</v>
      </c>
      <c r="D25" s="43" t="e">
        <f t="shared" ca="1" si="1"/>
        <v>#NAME?</v>
      </c>
      <c r="E25" s="43" t="e">
        <f t="shared" ca="1" si="2"/>
        <v>#NAME?</v>
      </c>
      <c r="F25" s="44" t="e">
        <f t="shared" ca="1" si="3"/>
        <v>#NAME?</v>
      </c>
    </row>
    <row r="26" spans="1:6" ht="15" thickBot="1">
      <c r="A26" s="45" t="e">
        <f t="shared" ca="1" si="0"/>
        <v>#NAME?</v>
      </c>
      <c r="B26" s="45" t="e">
        <f ca="1"/>
        <v>#NAME?</v>
      </c>
      <c r="C26" s="45" t="e">
        <f ca="1"/>
        <v>#NAME?</v>
      </c>
      <c r="D26" s="43" t="e">
        <f t="shared" ca="1" si="1"/>
        <v>#NAME?</v>
      </c>
      <c r="E26" s="43" t="e">
        <f t="shared" ca="1" si="2"/>
        <v>#NAME?</v>
      </c>
      <c r="F26" s="44" t="e">
        <f t="shared" ca="1" si="3"/>
        <v>#NAME?</v>
      </c>
    </row>
    <row r="27" spans="1:6" ht="15" thickBot="1">
      <c r="A27" s="45" t="e">
        <f t="shared" ca="1" si="0"/>
        <v>#NAME?</v>
      </c>
      <c r="B27" s="45" t="e">
        <f ca="1"/>
        <v>#NAME?</v>
      </c>
      <c r="C27" s="45" t="e">
        <f ca="1"/>
        <v>#NAME?</v>
      </c>
      <c r="D27" s="43" t="e">
        <f t="shared" ca="1" si="1"/>
        <v>#NAME?</v>
      </c>
      <c r="E27" s="43" t="e">
        <f t="shared" ca="1" si="2"/>
        <v>#NAME?</v>
      </c>
      <c r="F27" s="44" t="e">
        <f t="shared" ca="1" si="3"/>
        <v>#NAME?</v>
      </c>
    </row>
    <row r="28" spans="1:6" ht="15" thickBot="1">
      <c r="A28" s="45" t="e">
        <f t="shared" ca="1" si="0"/>
        <v>#NAME?</v>
      </c>
      <c r="B28" s="45" t="e">
        <f ca="1"/>
        <v>#NAME?</v>
      </c>
      <c r="C28" s="45" t="e">
        <f ca="1"/>
        <v>#NAME?</v>
      </c>
      <c r="D28" s="43" t="e">
        <f t="shared" ca="1" si="1"/>
        <v>#NAME?</v>
      </c>
      <c r="E28" s="43" t="e">
        <f t="shared" ca="1" si="2"/>
        <v>#NAME?</v>
      </c>
      <c r="F28" s="44" t="e">
        <f t="shared" ca="1" si="3"/>
        <v>#NAME?</v>
      </c>
    </row>
    <row r="29" spans="1:6" ht="15" thickBot="1">
      <c r="A29" s="45" t="e">
        <f t="shared" ca="1" si="0"/>
        <v>#NAME?</v>
      </c>
      <c r="B29" s="45" t="e">
        <f ca="1"/>
        <v>#NAME?</v>
      </c>
      <c r="C29" s="45" t="e">
        <f ca="1"/>
        <v>#NAME?</v>
      </c>
      <c r="D29" s="43" t="e">
        <f t="shared" ca="1" si="1"/>
        <v>#NAME?</v>
      </c>
      <c r="E29" s="43" t="e">
        <f t="shared" ca="1" si="2"/>
        <v>#NAME?</v>
      </c>
      <c r="F29" s="44" t="e">
        <f t="shared" ca="1" si="3"/>
        <v>#NAME?</v>
      </c>
    </row>
    <row r="30" spans="1:6" ht="15" thickBot="1">
      <c r="A30" s="45" t="e">
        <f t="shared" ca="1" si="0"/>
        <v>#NAME?</v>
      </c>
      <c r="B30" s="45" t="e">
        <f ca="1"/>
        <v>#NAME?</v>
      </c>
      <c r="C30" s="45" t="e">
        <f ca="1"/>
        <v>#NAME?</v>
      </c>
      <c r="D30" s="43" t="e">
        <f t="shared" ca="1" si="1"/>
        <v>#NAME?</v>
      </c>
      <c r="E30" s="43" t="e">
        <f t="shared" ca="1" si="2"/>
        <v>#NAME?</v>
      </c>
      <c r="F30" s="44" t="e">
        <f t="shared" ca="1" si="3"/>
        <v>#NAME?</v>
      </c>
    </row>
    <row r="31" spans="1:6" ht="15" thickBot="1">
      <c r="A31" s="45" t="e">
        <f t="shared" ca="1" si="0"/>
        <v>#NAME?</v>
      </c>
      <c r="B31" s="45" t="e">
        <f ca="1"/>
        <v>#NAME?</v>
      </c>
      <c r="C31" s="45" t="e">
        <f ca="1"/>
        <v>#NAME?</v>
      </c>
      <c r="D31" s="43" t="e">
        <f t="shared" ca="1" si="1"/>
        <v>#NAME?</v>
      </c>
      <c r="E31" s="43" t="e">
        <f t="shared" ca="1" si="2"/>
        <v>#NAME?</v>
      </c>
      <c r="F31" s="44" t="e">
        <f t="shared" ca="1" si="3"/>
        <v>#NAME?</v>
      </c>
    </row>
    <row r="32" spans="1:6" ht="15" thickBot="1">
      <c r="A32" s="45" t="e">
        <f t="shared" ca="1" si="0"/>
        <v>#NAME?</v>
      </c>
      <c r="B32" s="45" t="e">
        <f ca="1"/>
        <v>#NAME?</v>
      </c>
      <c r="C32" s="45" t="e">
        <f ca="1"/>
        <v>#NAME?</v>
      </c>
      <c r="D32" s="43" t="e">
        <f t="shared" ca="1" si="1"/>
        <v>#NAME?</v>
      </c>
      <c r="E32" s="43" t="e">
        <f t="shared" ca="1" si="2"/>
        <v>#NAME?</v>
      </c>
      <c r="F32" s="44" t="e">
        <f t="shared" ca="1" si="3"/>
        <v>#NAME?</v>
      </c>
    </row>
    <row r="33" spans="1:6" ht="15" thickBot="1">
      <c r="A33" s="45" t="e">
        <f t="shared" ca="1" si="0"/>
        <v>#NAME?</v>
      </c>
      <c r="B33" s="45" t="e">
        <f ca="1"/>
        <v>#NAME?</v>
      </c>
      <c r="C33" s="45" t="e">
        <f ca="1"/>
        <v>#NAME?</v>
      </c>
      <c r="D33" s="43" t="e">
        <f t="shared" ca="1" si="1"/>
        <v>#NAME?</v>
      </c>
      <c r="E33" s="43" t="e">
        <f t="shared" ca="1" si="2"/>
        <v>#NAME?</v>
      </c>
      <c r="F33" s="44" t="e">
        <f t="shared" ca="1" si="3"/>
        <v>#NAME?</v>
      </c>
    </row>
    <row r="34" spans="1:6" ht="15" thickBot="1">
      <c r="A34" s="45" t="e">
        <f t="shared" ca="1" si="0"/>
        <v>#NAME?</v>
      </c>
      <c r="B34" s="45" t="e">
        <f ca="1"/>
        <v>#NAME?</v>
      </c>
      <c r="C34" s="45" t="e">
        <f ca="1"/>
        <v>#NAME?</v>
      </c>
      <c r="D34" s="43" t="e">
        <f t="shared" ca="1" si="1"/>
        <v>#NAME?</v>
      </c>
      <c r="E34" s="43" t="e">
        <f t="shared" ca="1" si="2"/>
        <v>#NAME?</v>
      </c>
      <c r="F34" s="44" t="e">
        <f t="shared" ca="1" si="3"/>
        <v>#NAME?</v>
      </c>
    </row>
    <row r="35" spans="1:6" ht="15" thickBot="1">
      <c r="A35" s="45" t="e">
        <f t="shared" ca="1" si="0"/>
        <v>#NAME?</v>
      </c>
      <c r="B35" s="45" t="e">
        <f ca="1"/>
        <v>#NAME?</v>
      </c>
      <c r="C35" s="45" t="e">
        <f ca="1"/>
        <v>#NAME?</v>
      </c>
      <c r="D35" s="43" t="e">
        <f t="shared" ca="1" si="1"/>
        <v>#NAME?</v>
      </c>
      <c r="E35" s="43" t="e">
        <f t="shared" ca="1" si="2"/>
        <v>#NAME?</v>
      </c>
      <c r="F35" s="44" t="e">
        <f t="shared" ca="1" si="3"/>
        <v>#NAME?</v>
      </c>
    </row>
    <row r="36" spans="1:6" ht="15" thickBot="1">
      <c r="A36" s="45" t="e">
        <f t="shared" ca="1" si="0"/>
        <v>#NAME?</v>
      </c>
      <c r="B36" s="45" t="e">
        <f ca="1"/>
        <v>#NAME?</v>
      </c>
      <c r="C36" s="45" t="e">
        <f ca="1"/>
        <v>#NAME?</v>
      </c>
      <c r="D36" s="43" t="e">
        <f t="shared" ca="1" si="1"/>
        <v>#NAME?</v>
      </c>
      <c r="E36" s="43" t="e">
        <f t="shared" ca="1" si="2"/>
        <v>#NAME?</v>
      </c>
      <c r="F36" s="44" t="e">
        <f t="shared" ca="1" si="3"/>
        <v>#NAME?</v>
      </c>
    </row>
    <row r="37" spans="1:6" ht="15" thickBot="1">
      <c r="A37" s="45"/>
      <c r="B37" s="45"/>
      <c r="C37" s="45"/>
      <c r="D37" s="41"/>
      <c r="E37" s="41"/>
      <c r="F37" s="44"/>
    </row>
    <row r="38" spans="1:6" ht="15" thickBot="1">
      <c r="A38" s="45"/>
      <c r="B38" s="45"/>
      <c r="C38" s="45"/>
      <c r="D38" s="41"/>
      <c r="E38" s="41"/>
      <c r="F38" s="44"/>
    </row>
    <row r="39" spans="1:6" ht="15" thickBot="1">
      <c r="A39" s="45"/>
      <c r="B39" s="45"/>
      <c r="C39" s="45"/>
      <c r="D39" s="41"/>
      <c r="E39" s="41"/>
      <c r="F39" s="44"/>
    </row>
    <row r="40" spans="1:6" ht="15" thickBot="1">
      <c r="A40" s="45"/>
      <c r="B40" s="45"/>
      <c r="C40" s="45"/>
      <c r="D40" s="41"/>
      <c r="E40" s="41"/>
      <c r="F40" s="44"/>
    </row>
    <row r="41" spans="1:6" ht="15" thickBot="1">
      <c r="A41" s="45"/>
      <c r="B41" s="45"/>
      <c r="C41" s="45"/>
      <c r="D41" s="41"/>
      <c r="E41" s="41"/>
      <c r="F41" s="44"/>
    </row>
    <row r="42" spans="1:6" ht="15" thickBot="1">
      <c r="A42" s="45"/>
      <c r="B42" s="45"/>
      <c r="C42" s="45"/>
      <c r="D42" s="41"/>
      <c r="E42" s="41"/>
      <c r="F42" s="44"/>
    </row>
    <row r="43" spans="1:6" ht="15" thickBot="1">
      <c r="A43" s="45"/>
      <c r="B43" s="45"/>
      <c r="C43" s="45"/>
      <c r="D43" s="41"/>
      <c r="E43" s="41"/>
      <c r="F43" s="44"/>
    </row>
    <row r="44" spans="1:6" ht="15" thickBot="1">
      <c r="C44" s="39"/>
    </row>
    <row r="45" spans="1:6" s="25" customFormat="1" ht="15" thickBot="1">
      <c r="A45" s="23" t="s">
        <v>9</v>
      </c>
      <c r="B45" s="24"/>
    </row>
    <row r="46" spans="1:6" s="25" customFormat="1" ht="40.799999999999997" thickBot="1">
      <c r="A46" s="26" t="s">
        <v>10</v>
      </c>
      <c r="B46" s="48" t="s">
        <v>43</v>
      </c>
      <c r="C46" s="47" t="s">
        <v>42</v>
      </c>
    </row>
    <row r="47" spans="1:6" s="25" customFormat="1" ht="15" thickBot="1">
      <c r="A47" s="27"/>
      <c r="B47" s="27"/>
    </row>
    <row r="48" spans="1:6" s="25" customFormat="1" ht="15" thickBot="1">
      <c r="A48" s="28" t="s">
        <v>6</v>
      </c>
      <c r="B48" s="29"/>
    </row>
    <row r="49" spans="1:2" s="25" customFormat="1" ht="15" thickBot="1">
      <c r="A49" s="30" t="s">
        <v>11</v>
      </c>
      <c r="B49" s="29"/>
    </row>
    <row r="50" spans="1:2" s="25" customFormat="1" ht="15" thickBot="1">
      <c r="A50" s="31" t="s">
        <v>7</v>
      </c>
      <c r="B50" s="32" t="str">
        <f>"http://csuite.xbrl.us/php/dispatch.php?Task=xbrlValues&amp;API_Key="&amp;B46&amp;""</f>
        <v>http://csuite.xbrl.us/php/dispatch.php?Task=xbrlValues&amp;API_Key=4af8ed08-e6c2-4558-9f19-be677f8186eb</v>
      </c>
    </row>
    <row r="51" spans="1:2" s="25" customFormat="1" ht="15" thickBot="1">
      <c r="A51" s="28" t="s">
        <v>12</v>
      </c>
      <c r="B51" s="29"/>
    </row>
    <row r="52" spans="1:2" s="25" customFormat="1" ht="15" thickBot="1">
      <c r="A52" s="31" t="s">
        <v>7</v>
      </c>
      <c r="B52" s="28" t="s">
        <v>8</v>
      </c>
    </row>
    <row r="53" spans="1:2" s="25" customFormat="1" ht="15" thickBot="1">
      <c r="A53" s="28" t="s">
        <v>13</v>
      </c>
      <c r="B53" s="29"/>
    </row>
    <row r="54" spans="1:2" s="25" customFormat="1" ht="15" thickBot="1">
      <c r="A54" s="31" t="s">
        <v>7</v>
      </c>
      <c r="B54" s="32" t="str">
        <f>"http://csuite.xbrl.us/php/dispatch.php?Task=xbrlBaseElement&amp;API_Key="&amp;B46&amp;""</f>
        <v>http://csuite.xbrl.us/php/dispatch.php?Task=xbrlBaseElement&amp;API_Key=4af8ed08-e6c2-4558-9f19-be677f8186eb</v>
      </c>
    </row>
  </sheetData>
  <mergeCells count="4">
    <mergeCell ref="A3:B3"/>
    <mergeCell ref="A4:B4"/>
    <mergeCell ref="A5:B5"/>
    <mergeCell ref="A6:B6"/>
  </mergeCells>
  <hyperlinks>
    <hyperlink ref="B50" r:id="rId1" display="http://csuite.xbrl.us/php/dispatch.php?Task=xbrlValues&amp;API_Key=10d21524-beec-4160-aeaa-5615f43fffca"/>
    <hyperlink ref="B54" r:id="rId2" display="http://csuite.xbrl.us/php/dispatch.php?Task=xbrlBaseElement&amp;API_Key=10d21524-beec-4160-aeaa-5615f43fffca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NetMargin</vt:lpstr>
      <vt:lpstr>MarginTimeSeries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Margin Comparison Workbook</dc:title>
  <dc:creator>XBRL US</dc:creator>
  <dc:description>get an API key at http://xbrl.us/apirequest</dc:description>
  <cp:lastModifiedBy>Marc</cp:lastModifiedBy>
  <dcterms:created xsi:type="dcterms:W3CDTF">2015-09-04T15:19:06Z</dcterms:created>
  <dcterms:modified xsi:type="dcterms:W3CDTF">2016-02-19T19:35:22Z</dcterms:modified>
</cp:coreProperties>
</file>