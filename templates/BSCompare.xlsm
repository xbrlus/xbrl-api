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I9"/>
  <c r="I11"/>
  <c r="B12"/>
  <c r="B19"/>
  <c r="K13"/>
  <c r="I14"/>
  <c r="F13"/>
  <c r="F8"/>
  <c r="G9"/>
  <c r="J8"/>
  <c r="F10"/>
  <c r="G11"/>
  <c r="E7"/>
  <c r="H11"/>
  <c r="J14"/>
  <c r="F16"/>
  <c r="B18"/>
  <c r="E10"/>
  <c r="E15"/>
  <c r="K10"/>
  <c r="I13"/>
  <c r="D15"/>
  <c r="K9"/>
  <c r="G8"/>
  <c r="B16"/>
  <c r="H12"/>
  <c r="H14"/>
  <c r="D14"/>
  <c r="B23"/>
  <c r="E14"/>
  <c r="K12"/>
  <c r="J10"/>
  <c r="B22"/>
  <c r="I8"/>
  <c r="F14"/>
  <c r="G14"/>
  <c r="E13"/>
  <c r="B25"/>
  <c r="E12"/>
  <c r="G16"/>
  <c r="F11"/>
  <c r="F15"/>
  <c r="G7"/>
  <c r="B11"/>
  <c r="D12"/>
  <c r="J9"/>
  <c r="D16"/>
  <c r="B8"/>
  <c r="B15"/>
  <c r="E16"/>
  <c r="J7"/>
  <c r="J12"/>
  <c r="H10"/>
  <c r="K14"/>
  <c r="E8"/>
  <c r="G13"/>
  <c r="D10"/>
  <c r="B10"/>
  <c r="B26"/>
  <c r="G10"/>
  <c r="K7"/>
  <c r="F7"/>
  <c r="F9"/>
  <c r="H16"/>
  <c r="E9"/>
  <c r="H8"/>
  <c r="D9"/>
  <c r="H7"/>
  <c r="D11"/>
  <c r="B9"/>
  <c r="D8"/>
  <c r="B14"/>
  <c r="D13"/>
  <c r="F12"/>
  <c r="H13"/>
  <c r="K8"/>
  <c r="H15"/>
  <c r="I7"/>
  <c r="B7"/>
  <c r="K15"/>
  <c r="G15"/>
  <c r="J16"/>
  <c r="B17"/>
  <c r="K16"/>
  <c r="J13"/>
  <c r="K11"/>
  <c r="B21"/>
  <c r="D7"/>
  <c r="I10"/>
  <c r="G12"/>
  <c r="J15"/>
  <c r="E11"/>
  <c r="I12"/>
  <c r="B13"/>
  <c r="H9"/>
  <c r="J11"/>
  <c r="I16"/>
  <c r="I15"/>
  <c r="B27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<sst xmlns="http://schemas.openxmlformats.org/spreadsheetml/2006/main" count="69" uniqueCount="39">
  <si>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</si>
  <si>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</si>
  <si>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</si>
  <si>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</si>
  <si>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</si>
  <si>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</si>
  <si>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</si>
  <si>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</si>
  <si>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</si>
  <si>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</si>
  <si>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</si>
  <si>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</si>
  <si>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</si>
  <si>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</si>
  <si>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</si>
  <si>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</si>
  <si>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</si>
  <si>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</si>
  <si>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</si>
  <si>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</si>
  <si>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</si>
  <si>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</si>
  <si>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</si>
  <si>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</si>
  <si>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</si>
  <si>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</si>
  <si>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</si>
  <si>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</si>
  <si>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</si>
  <si>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</si>
  <si>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</si>
  <si>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</si>
  <si>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</si>
  <si>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</si>
  <si>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</si>
  <si>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</si>
  <si>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</si>
  <si>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</si>
  <si>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1550e713-c853-4a17-a6e5-7620b8c26129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</si>
</sst>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  <xf numFmtId="11" fontId="13" fillId="3" borderId="0" xfId="0" applyNumberFormat="1" applyFont="1" applyFill="1" applyAlignment="1">
      <alignment horizontal="righ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B1" sqref="B1"/>
    </sheetView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2" t="str">
        <f>xbrlCIKLookup($B$39&amp;"&amp;Ticker="&amp;D4,"name")</f>
        <v>APPLE INC</v>
      </c>
      <c r="E5" s="32" t="str">
        <f t="shared" ref="E5:K5" si="0">xbrlCIKLookup($B$39&amp;"&amp;Ticker="&amp;E4,"name")</f>
        <v>INTERNATIONAL BUSINESS MACHINES CORP</v>
      </c>
      <c r="F5" s="32" t="str">
        <f t="shared" si="0"/>
        <v>MICROSOFT CORP</v>
      </c>
      <c r="G5" s="32" t="str">
        <f t="shared" si="0"/>
        <v>GOOGLE INC.</v>
      </c>
      <c r="H5" s="32" t="str">
        <f t="shared" si="0"/>
        <v>Facebook Inc</v>
      </c>
      <c r="I5" s="32" t="str">
        <f t="shared" si="0"/>
        <v>AMAZON COM INC</v>
      </c>
      <c r="J5" s="32" t="str">
        <f t="shared" si="0"/>
        <v>TWITTER, INC.</v>
      </c>
      <c r="K5" s="32" t="str">
        <f t="shared" si="0"/>
        <v>FORD MOTOR CO</v>
      </c>
    </row>
    <row r="6" spans="1:11" ht="15.75" thickBot="1">
      <c r="A6" s="29" t="s">
        <v>33</v>
      </c>
      <c r="B6" s="9" t="s">
        <v>12</v>
      </c>
      <c r="C6" s="10" t="s">
        <v>13</v>
      </c>
      <c r="D6" s="32" t="str">
        <f>xbrlCIKLookup($B$39&amp;"&amp;Ticker="&amp;D4,"cik")</f>
        <v>0000320193</v>
      </c>
      <c r="E6" s="32" t="str">
        <f t="shared" ref="E6:K6" si="1">xbrlCIKLookup($B$39&amp;"&amp;Ticker="&amp;E4,"cik")</f>
        <v>0000051143</v>
      </c>
      <c r="F6" s="32" t="str">
        <f t="shared" si="1"/>
        <v>0000789019</v>
      </c>
      <c r="G6" s="32" t="str">
        <f t="shared" si="1"/>
        <v>0001288776</v>
      </c>
      <c r="H6" s="32" t="str">
        <f t="shared" si="1"/>
        <v>0001326801</v>
      </c>
      <c r="I6" s="32" t="str">
        <f t="shared" si="1"/>
        <v>0001018724</v>
      </c>
      <c r="J6" s="32" t="str">
        <f t="shared" si="1"/>
        <v>0001418091</v>
      </c>
      <c r="K6" s="32" t="str">
        <f t="shared" si="1"/>
        <v>0000037996</v>
      </c>
    </row>
    <row r="7" spans="1:11">
      <c r="A7" s="27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7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7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7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7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7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7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7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30">
      <c r="A15" s="27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.75" thickBot="1">
      <c r="A16" s="27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8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8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.75" thickBot="1">
      <c r="A19" s="28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8"/>
      <c r="B20" s="16"/>
      <c r="C20" s="17"/>
    </row>
    <row r="21" spans="1:11">
      <c r="A21" s="28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8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.75" thickBot="1">
      <c r="A23" s="28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8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8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75">
      <c r="A26" s="28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.75" thickBot="1">
      <c r="A27" s="28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34" t="s">
        <v>38</v>
      </c>
      <c r="C33" s="33" t="s">
        <v>37</v>
      </c>
      <c r="D33" s="33"/>
    </row>
    <row r="35" spans="1:4" ht="60">
      <c r="A35" s="30" t="s">
        <v>26</v>
      </c>
      <c r="B35" s="23"/>
    </row>
    <row r="36" spans="1:4">
      <c r="A36" s="31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http://csuite.xbrl.us/php/dispatch.php?Task=xbrlValues&amp;API_Key=1550e713-c853-4a17-a6e5-7620b8c26129</v>
      </c>
    </row>
    <row r="38" spans="1:4">
      <c r="A38" s="31" t="s">
        <v>35</v>
      </c>
    </row>
    <row r="39" spans="1:4">
      <c r="A39" s="24" t="s">
        <v>27</v>
      </c>
      <c r="B39" s="25" t="s">
        <v>29</v>
      </c>
    </row>
    <row r="40" spans="1:4">
      <c r="A40" s="31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http://csuite.xbrl.us/php/dispatch.php?Task=xbrlBaseElement&amp;API_Key=1550e713-c853-4a17-a6e5-7620b8c26129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2018-03-07T23:16:07Z</dcterms:modified>
</cp:coreProperties>
</file>